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a2b967b234d70" /><Relationship Type="http://schemas.openxmlformats.org/package/2006/relationships/metadata/core-properties" Target="/docProps/core.xml" Id="R7784110225e745c3" /><Relationship Type="http://schemas.openxmlformats.org/officeDocument/2006/relationships/extended-properties" Target="/docProps/app.xml" Id="R2e556d8d84dd40e5" /><Relationship Type="http://schemas.openxmlformats.org/officeDocument/2006/relationships/custom-properties" Target="/docProps/custom.xml" Id="R57e0a9afcea6415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DASHBOARD" sheetId="2" r:id="R515ce4a847214d34"/>
    <x:sheet name="MASTER TRACKER" sheetId="3" r:id="Rb8f787d648904bfe"/>
    <x:sheet name="SENARAI KURSUS" sheetId="4" r:id="R623aad6a01094948"/>
    <x:sheet name="SENARAI PENSYARAH" sheetId="5" r:id="R91bb66691b4e4fa0"/>
    <x:sheet name="LAPORAN BULANAN" sheetId="6" r:id="R1edd143a691849ff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name val="Calibri"/>
    </x:font>
    <x:font>
      <x:b/>
      <x:sz val="14"/>
      <x:name val="Calibri"/>
    </x:font>
    <x:font>
      <x:b/>
      <x:sz val="11"/>
      <x:name val="Calibri"/>
    </x:font>
    <x:font>
      <x:b/>
      <x:sz val="16"/>
      <x:name val="Calibri"/>
    </x:font>
    <x:font>
      <x:b/>
      <x:sz val="12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D6E4F0"/>
      </x:patternFill>
    </x:fill>
    <x:fill>
      <x:patternFill patternType="solid">
        <x:fgColor rgb="FF375623"/>
      </x:patternFill>
    </x:fill>
    <x:fill>
      <x:patternFill patternType="solid">
        <x:fgColor rgb="FFE2EFDA"/>
      </x:patternFill>
    </x:fill>
    <x:fill>
      <x:patternFill patternType="solid">
        <x:fgColor rgb="FFBDD7EE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C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/>
    <x:xf numFmtId="0" fontId="1" fillId="2" borderId="0" applyFont="1" applyFill="1"/>
    <x:xf numFmtId="0" fontId="2" fillId="3" borderId="0" applyFont="1" applyFill="1"/>
    <x:xf numFmtId="0" fontId="3" fillId="2" borderId="0" applyFont="1" applyFill="1"/>
    <x:xf numFmtId="0" fontId="4" fillId="3" borderId="0" applyFont="1" applyFill="1"/>
    <x:xf numFmtId="0" fontId="0" fillId="4" borderId="0" applyFont="1" applyFill="1"/>
    <x:xf numFmtId="0" fontId="4" fillId="5" borderId="0" applyFont="1" applyFill="1"/>
    <x:xf numFmtId="0" fontId="0" fillId="5" borderId="0" applyFill="1"/>
    <x:xf numFmtId="0" fontId="2" fillId="6" borderId="0" applyFont="1" applyFill="1"/>
    <x:xf numFmtId="0" fontId="2" fillId="0" borderId="0" applyFont="1"/>
    <x:xf numFmtId="0" fontId="0" fillId="7" borderId="0" applyFill="1"/>
    <x:xf numFmtId="164" fontId="0" fillId="0" borderId="0" applyNumberFormat="1"/>
    <x:xf numFmtId="0" fontId="0" fillId="8" borderId="0" applyFill="1"/>
    <x:xf numFmtId="0" fontId="0" fillId="9" borderId="0" applyFill="1"/>
    <x:xf numFmtId="0" fontId="0" fillId="10" borderId="0" applyFill="1"/>
    <x:xf numFmtId="0" fontId="4" fillId="2" borderId="0" applyFont="1" applyFill="1"/>
    <x:xf numFmtId="164" fontId="1" fillId="8" borderId="0" applyNumberFormat="1" applyFont="1" applyFill="1"/>
    <x:xf numFmtId="0" fontId="4" fillId="11" borderId="0" applyFont="1" applyFill="1"/>
    <x:xf numFmtId="0" fontId="2" fillId="10" borderId="0" applyFont="1" applyFill="1"/>
    <x:xf numFmtId="0" fontId="0" fillId="3" borderId="0" applyFont="1" applyFill="1"/>
    <x:xf numFmtId="0" fontId="0" fillId="2" borderId="0" applyFill="1"/>
    <x:xf numFmtId="0" fontId="2" fillId="7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6f4a71a56024a27" /><Relationship Type="http://schemas.openxmlformats.org/officeDocument/2006/relationships/worksheet" Target="/xl/worksheets/sheet2.xml" Id="R515ce4a847214d34" /><Relationship Type="http://schemas.openxmlformats.org/officeDocument/2006/relationships/worksheet" Target="/xl/worksheets/sheet3.xml" Id="Rb8f787d648904bfe" /><Relationship Type="http://schemas.openxmlformats.org/officeDocument/2006/relationships/worksheet" Target="/xl/worksheets/sheet4.xml" Id="R623aad6a01094948" /><Relationship Type="http://schemas.openxmlformats.org/officeDocument/2006/relationships/worksheet" Target="/xl/worksheets/sheet5.xml" Id="R91bb66691b4e4fa0" /><Relationship Type="http://schemas.openxmlformats.org/officeDocument/2006/relationships/worksheet" Target="/xl/worksheets/sheet6.xml" Id="R1edd143a691849ff" /><Relationship Type="http://schemas.openxmlformats.org/officeDocument/2006/relationships/styles" Target="/xl/styles.xml" Id="Ra0e41da6bfdb46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cols>
    <x:col min="1" max="1" width="28" customWidth="1"/>
    <x:col min="2" max="2" width="18" customWidth="1"/>
    <x:col min="3" max="3" width="18" customWidth="1"/>
    <x:col min="4" max="4" width="22" customWidth="1"/>
    <x:col min="5" max="5" width="22" customWidth="1"/>
  </x:cols>
  <x:sheetData>
    <x:row r="1">
      <x:c r="A1" s="3" t="str">
        <x:v>DASHBOARD KUALITI FAIL KURSUS</x:v>
      </x:c>
    </x:row>
    <x:row r="2">
      <x:c r="A2" s="4" t="str">
        <x:v>POLITEKNIK SEBERANG PERAI</x:v>
      </x:c>
    </x:row>
    <x:row r="3">
      <x:c r="A3" s="5" t="str">
        <x:v>Semester 1 Sesi 2024/2025</x:v>
      </x:c>
    </x:row>
    <x:row r="5">
      <x:c r="A5" s="6" t="str">
        <x:v>RINGKASAN PEMATUHAN FAIL KURSUS</x:v>
      </x:c>
      <x:c r="B5" s="7" t="str">
        <x:v/>
      </x:c>
      <x:c r="C5" s="7" t="str">
        <x:v/>
      </x:c>
      <x:c r="D5" s="7" t="str">
        <x:v/>
      </x:c>
    </x:row>
    <x:row r="6">
      <x:c r="A6" s="8" t="str">
        <x:v>Perkara</x:v>
      </x:c>
      <x:c r="B6" s="8" t="str">
        <x:v>Bilangan</x:v>
      </x:c>
      <x:c r="C6" s="8" t="str">
        <x:v>Peratus (%)</x:v>
      </x:c>
      <x:c r="D6" s="8" t="str">
        <x:v>Status</x:v>
      </x:c>
    </x:row>
    <x:row r="7">
      <x:c r="A7" s="9" t="str">
        <x:v>Jumlah Rekod Fail Kursus</x:v>
      </x:c>
      <x:c r="B7">
        <x:f>COUNTA('MASTER TRACKER'!A3:A1000)</x:f>
        <x:v>10</x:v>
      </x:c>
      <x:c r="C7" s="9" t="str">
        <x:v>100%</x:v>
      </x:c>
      <x:c r="D7" s="10" t="str">
        <x:v>Jumlah Keseluruhan</x:v>
      </x:c>
    </x:row>
    <x:row r="8">
      <x:c r="A8" t="str">
        <x:v>Fail LENGKAP (Diterima &amp; Lengkap)</x:v>
      </x:c>
      <x:c r="B8">
        <x:f>COUNTIF('MASTER TRACKER'!J3:J1000,"Lengkap")</x:f>
        <x:v>6</x:v>
      </x:c>
      <x:c r="C8" s="11">
        <x:f>IFERROR(B8/B7,0)</x:f>
        <x:v>0.6</x:v>
      </x:c>
      <x:c r="D8" s="12" t="str">
        <x:v>Lengkap</x:v>
      </x:c>
    </x:row>
    <x:row r="9">
      <x:c r="A9" t="str">
        <x:v>Diterima - BELUM LENGKAP</x:v>
      </x:c>
      <x:c r="B9">
        <x:f>COUNTIF('MASTER TRACKER'!J3:J1000,"Diterima - Belum Lengkap")</x:f>
        <x:v>2</x:v>
      </x:c>
      <x:c r="C9" s="11">
        <x:f>IFERROR(B9/B7,0)</x:f>
        <x:v>0.2</x:v>
      </x:c>
      <x:c r="D9" s="13" t="str">
        <x:v>Tindakan Diperlukan</x:v>
      </x:c>
    </x:row>
    <x:row r="10">
      <x:c r="A10" t="str">
        <x:v>Diedar - BELUM DITERIMA</x:v>
      </x:c>
      <x:c r="B10">
        <x:f>COUNTIF('MASTER TRACKER'!J3:J1000,"Diedar - Belum Diterima")</x:f>
        <x:v>2</x:v>
      </x:c>
      <x:c r="C10" s="11">
        <x:f>IFERROR(B10/B7,0)</x:f>
        <x:v>0.2</x:v>
      </x:c>
      <x:c r="D10" s="13" t="str">
        <x:v>Perlu Susulan</x:v>
      </x:c>
    </x:row>
    <x:row r="11">
      <x:c r="A11" t="str">
        <x:v>BELUM DIEDAR</x:v>
      </x:c>
      <x:c r="B11">
        <x:f>COUNTIF('MASTER TRACKER'!J3:J1000,"Belum Diedar")</x:f>
        <x:v>0</x:v>
      </x:c>
      <x:c r="C11" s="11">
        <x:f>IFERROR(B11/B7,0)</x:f>
        <x:v>0</x:v>
      </x:c>
      <x:c r="D11" s="14" t="str">
        <x:v>Segera!</x:v>
      </x:c>
    </x:row>
    <x:row r="13">
      <x:c r="A13" s="15" t="str">
        <x:v>KADAR PEMATUHAN KESELURUHAN</x:v>
      </x:c>
      <x:c r="B13" s="16">
        <x:f>IFERROR(B8/B7,0)</x:f>
        <x:v>0.6</x:v>
      </x:c>
    </x:row>
    <x:row r="15">
      <x:c r="A15" s="17" t="str">
        <x:v>SENARAI TINDAKAN SEGERA (BELUM SELESAI)</x:v>
      </x:c>
    </x:row>
    <x:row r="16">
      <x:c r="A16" s="18" t="str">
        <x:v>No. Pekerja</x:v>
      </x:c>
      <x:c r="B16" s="18" t="str">
        <x:v>Nama Pensyarah</x:v>
      </x:c>
      <x:c r="C16" s="18" t="str">
        <x:v>Kod Kursus</x:v>
      </x:c>
      <x:c r="D16" s="18" t="str">
        <x:v>Status</x:v>
      </x:c>
      <x:c r="E16" s="18" t="str">
        <x:v>Catatan</x:v>
      </x:c>
    </x:row>
    <x:row r="17">
      <x:c r="A17" t="str">
        <x:v>P004</x:v>
      </x:c>
      <x:c r="B17" t="str">
        <x:v>Noraini binti Zainudin</x:v>
      </x:c>
      <x:c r="C17" t="str">
        <x:v>DFW1013</x:v>
      </x:c>
      <x:c r="D17" s="13" t="str">
        <x:v>Diedar - Belum Diterima</x:v>
      </x:c>
      <x:c r="E17" t="str">
        <x:v>Perlu hubungi pensyarah</x:v>
      </x:c>
    </x:row>
    <x:row r="18">
      <x:c r="A18" t="str">
        <x:v>P007</x:v>
      </x:c>
      <x:c r="B18" t="str">
        <x:v>Zulkifli bin Ramli</x:v>
      </x:c>
      <x:c r="C18" t="str">
        <x:v>DPA1013</x:v>
      </x:c>
      <x:c r="D18" s="13" t="str">
        <x:v>Diedar - Belum Diterima</x:v>
      </x:c>
      <x:c r="E18" t="str">
        <x:v>Peringatan ke-2 perlu dihantar</x:v>
      </x:c>
    </x:row>
    <x:row r="19">
      <x:c r="A19" t="str">
        <x:v>P003</x:v>
      </x:c>
      <x:c r="B19" t="str">
        <x:v>Mohd Fadzil bin Hassan</x:v>
      </x:c>
      <x:c r="C19" t="str">
        <x:v>DBM1013</x:v>
      </x:c>
      <x:c r="D19" s="13" t="str">
        <x:v>Diterima - Belum Lengkap</x:v>
      </x:c>
      <x:c r="E19" t="str">
        <x:v>Menunggu Soalan Peperiksaan</x:v>
      </x:c>
    </x:row>
    <x:row r="20">
      <x:c r="A20" t="str">
        <x:v>P009</x:v>
      </x:c>
      <x:c r="B20" t="str">
        <x:v>Hairul Nizam bin Daud</x:v>
      </x:c>
      <x:c r="C20" t="str">
        <x:v>DCS2023</x:v>
      </x:c>
      <x:c r="D20" s="13" t="str">
        <x:v>Diterima - Belum Lengkap</x:v>
      </x:c>
      <x:c r="E20" t="str">
        <x:v>Belum hantar rubrik</x:v>
      </x:c>
    </x:row>
  </x:sheetData>
</x:worksheet>
</file>

<file path=xl/worksheets/sheet3.xml><?xml version="1.0" encoding="utf-8"?>
<x:worksheet xmlns:x="http://schemas.openxmlformats.org/spreadsheetml/2006/main">
  <x:cols>
    <x:col min="1" max="1" width="6" customWidth="1"/>
    <x:col min="2" max="2" width="12" customWidth="1"/>
    <x:col min="3" max="3" width="28" customWidth="1"/>
    <x:col min="4" max="4" width="15" customWidth="1"/>
    <x:col min="5" max="5" width="30" customWidth="1"/>
    <x:col min="6" max="6" width="14" customWidth="1"/>
    <x:col min="7" max="7" width="16" customWidth="1"/>
    <x:col min="8" max="8" width="16" customWidth="1"/>
    <x:col min="9" max="9" width="16" customWidth="1"/>
    <x:col min="10" max="10" width="18" customWidth="1"/>
    <x:col min="11" max="11" width="20" customWidth="1"/>
  </x:cols>
  <x:sheetData>
    <x:row r="1">
      <x:c r="A1" s="1" t="str">
        <x:v>MASTER TRACKER - STATUS FAIL KURSUS</x:v>
      </x:c>
    </x:row>
    <x:row r="2">
      <x:c r="A2" s="2" t="str">
        <x:v>No</x:v>
      </x:c>
      <x:c r="B2" s="2" t="str">
        <x:v>No. Pekerja</x:v>
      </x:c>
      <x:c r="C2" s="2" t="str">
        <x:v>Nama Pensyarah</x:v>
      </x:c>
      <x:c r="D2" s="2" t="str">
        <x:v>Kod Kursus</x:v>
      </x:c>
      <x:c r="E2" s="2" t="str">
        <x:v>Nama Kursus</x:v>
      </x:c>
      <x:c r="F2" s="2" t="str">
        <x:v>Tarikh Edar</x:v>
      </x:c>
      <x:c r="G2" s="2" t="str">
        <x:v>Terima? (Y/T)</x:v>
      </x:c>
      <x:c r="H2" s="2" t="str">
        <x:v>Tarikh Terima</x:v>
      </x:c>
      <x:c r="I2" s="2" t="str">
        <x:v>Fail Lengkap? (Y/T)</x:v>
      </x:c>
      <x:c r="J2" s="2" t="str">
        <x:v>Status Keseluruhan</x:v>
      </x:c>
      <x:c r="K2" s="2" t="str">
        <x:v>Catatan</x:v>
      </x:c>
    </x:row>
    <x:row r="3">
      <x:c r="A3">
        <x:v>1</x:v>
      </x:c>
      <x:c r="B3" t="str">
        <x:v>P001</x:v>
      </x:c>
      <x:c r="C3" t="str">
        <x:v>Ahmad bin Abu Bakar</x:v>
      </x:c>
      <x:c r="D3" t="str">
        <x:v>DKA1012</x:v>
      </x:c>
      <x:c r="E3" t="str">
        <x:v>Pengantar Perakaunan</x:v>
      </x:c>
      <x:c r="F3" t="str">
        <x:v>02/01/2025</x:v>
      </x:c>
      <x:c r="G3" t="str">
        <x:v>Y</x:v>
      </x:c>
      <x:c r="H3" t="str">
        <x:v>03/01/2025</x:v>
      </x:c>
      <x:c r="I3" t="str">
        <x:v>Y</x:v>
      </x:c>
      <x:c r="J3" t="str">
        <x:f>IF(AND(G3="Y",I3="Y"),"Lengkap",IF(G3="Y","Diterima - Belum Lengkap",IF(F3&lt;&gt;"","Diedar - Belum Diterima","Belum Diedar")))</x:f>
        <x:v>Lengkap</x:v>
      </x:c>
    </x:row>
    <x:row r="4">
      <x:c r="A4">
        <x:v>2</x:v>
      </x:c>
      <x:c r="B4" t="str">
        <x:v>P002</x:v>
      </x:c>
      <x:c r="C4" t="str">
        <x:v>Siti Aishah binti Mohd</x:v>
      </x:c>
      <x:c r="D4" t="str">
        <x:v>DCS2013</x:v>
      </x:c>
      <x:c r="E4" t="str">
        <x:v>Pengaturcaraan Asas</x:v>
      </x:c>
      <x:c r="F4" t="str">
        <x:v>02/01/2025</x:v>
      </x:c>
      <x:c r="G4" t="str">
        <x:v>Y</x:v>
      </x:c>
      <x:c r="H4" t="str">
        <x:v>04/01/2025</x:v>
      </x:c>
      <x:c r="I4" t="str">
        <x:v>Y</x:v>
      </x:c>
      <x:c r="J4" t="str">
        <x:f>IF(AND(G4="Y",I4="Y"),"Lengkap",IF(G4="Y","Diterima - Belum Lengkap",IF(F4&lt;&gt;"","Diedar - Belum Diterima","Belum Diedar")))</x:f>
        <x:v>Lengkap</x:v>
      </x:c>
    </x:row>
    <x:row r="5">
      <x:c r="A5">
        <x:v>3</x:v>
      </x:c>
      <x:c r="B5" t="str">
        <x:v>P003</x:v>
      </x:c>
      <x:c r="C5" t="str">
        <x:v>Mohd Fadzil bin Hassan</x:v>
      </x:c>
      <x:c r="D5" t="str">
        <x:v>DBM1013</x:v>
      </x:c>
      <x:c r="E5" t="str">
        <x:v>Pengantar Pengurusan</x:v>
      </x:c>
      <x:c r="F5" t="str">
        <x:v>02/01/2025</x:v>
      </x:c>
      <x:c r="G5" t="str">
        <x:v>Y</x:v>
      </x:c>
      <x:c r="H5" t="str">
        <x:v>05/01/2025</x:v>
      </x:c>
      <x:c r="I5" t="str">
        <x:v>T</x:v>
      </x:c>
      <x:c r="J5" t="str">
        <x:f>IF(AND(G5="Y",I5="Y"),"Lengkap",IF(G5="Y","Diterima - Belum Lengkap",IF(F5&lt;&gt;"","Diedar - Belum Diterima","Belum Diedar")))</x:f>
        <x:v>Diterima - Belum Lengkap</x:v>
      </x:c>
      <x:c r="K5" t="str">
        <x:v>Menunggu Soalan Peperiksaan</x:v>
      </x:c>
    </x:row>
    <x:row r="6">
      <x:c r="A6">
        <x:v>4</x:v>
      </x:c>
      <x:c r="B6" t="str">
        <x:v>P004</x:v>
      </x:c>
      <x:c r="C6" t="str">
        <x:v>Noraini binti Zainudin</x:v>
      </x:c>
      <x:c r="D6" t="str">
        <x:v>DFW1013</x:v>
      </x:c>
      <x:c r="E6" t="str">
        <x:v>Fizik Binaan</x:v>
      </x:c>
      <x:c r="F6" t="str">
        <x:v>02/01/2025</x:v>
      </x:c>
      <x:c r="G6" t="str">
        <x:v>T</x:v>
      </x:c>
      <x:c r="I6" t="str">
        <x:v>T</x:v>
      </x:c>
      <x:c r="J6" t="str">
        <x:f>IF(AND(G6="Y",I6="Y"),"Lengkap",IF(G6="Y","Diterima - Belum Lengkap",IF(F6&lt;&gt;"","Diedar - Belum Diterima","Belum Diedar")))</x:f>
        <x:v>Diedar - Belum Diterima</x:v>
      </x:c>
      <x:c r="K6" t="str">
        <x:v>Perlu hubungi pensyarah</x:v>
      </x:c>
    </x:row>
    <x:row r="7">
      <x:c r="A7">
        <x:v>5</x:v>
      </x:c>
      <x:c r="B7" t="str">
        <x:v>P005</x:v>
      </x:c>
      <x:c r="C7" t="str">
        <x:v>Kamaruddin bin Yusof</x:v>
      </x:c>
      <x:c r="D7" t="str">
        <x:v>DKM1013</x:v>
      </x:c>
      <x:c r="E7" t="str">
        <x:v>Matematik Kejuruteraan 1</x:v>
      </x:c>
      <x:c r="F7" t="str">
        <x:v>02/01/2025</x:v>
      </x:c>
      <x:c r="G7" t="str">
        <x:v>Y</x:v>
      </x:c>
      <x:c r="H7" t="str">
        <x:v>03/01/2025</x:v>
      </x:c>
      <x:c r="I7" t="str">
        <x:v>Y</x:v>
      </x:c>
      <x:c r="J7" t="str">
        <x:f>IF(AND(G7="Y",I7="Y"),"Lengkap",IF(G7="Y","Diterima - Belum Lengkap",IF(F7&lt;&gt;"","Diedar - Belum Diterima","Belum Diedar")))</x:f>
        <x:v>Lengkap</x:v>
      </x:c>
    </x:row>
    <x:row r="8">
      <x:c r="A8">
        <x:v>6</x:v>
      </x:c>
      <x:c r="B8" t="str">
        <x:v>P006</x:v>
      </x:c>
      <x:c r="C8" t="str">
        <x:v>Faridah binti Ismail</x:v>
      </x:c>
      <x:c r="D8" t="str">
        <x:v>DCE1013</x:v>
      </x:c>
      <x:c r="E8" t="str">
        <x:v>Elektronik Asas</x:v>
      </x:c>
      <x:c r="F8" t="str">
        <x:v>02/01/2025</x:v>
      </x:c>
      <x:c r="G8" t="str">
        <x:v>Y</x:v>
      </x:c>
      <x:c r="H8" t="str">
        <x:v>06/01/2025</x:v>
      </x:c>
      <x:c r="I8" t="str">
        <x:v>Y</x:v>
      </x:c>
      <x:c r="J8" t="str">
        <x:f>IF(AND(G8="Y",I8="Y"),"Lengkap",IF(G8="Y","Diterima - Belum Lengkap",IF(F8&lt;&gt;"","Diedar - Belum Diterima","Belum Diedar")))</x:f>
        <x:v>Lengkap</x:v>
      </x:c>
    </x:row>
    <x:row r="9">
      <x:c r="A9">
        <x:v>7</x:v>
      </x:c>
      <x:c r="B9" t="str">
        <x:v>P007</x:v>
      </x:c>
      <x:c r="C9" t="str">
        <x:v>Zulkifli bin Ramli</x:v>
      </x:c>
      <x:c r="D9" t="str">
        <x:v>DPA1013</x:v>
      </x:c>
      <x:c r="E9" t="str">
        <x:v>Pengantar Pentadbiran Awam</x:v>
      </x:c>
      <x:c r="F9" t="str">
        <x:v>03/01/2025</x:v>
      </x:c>
      <x:c r="G9" t="str">
        <x:v>T</x:v>
      </x:c>
      <x:c r="I9" t="str">
        <x:v>T</x:v>
      </x:c>
      <x:c r="J9" t="str">
        <x:f>IF(AND(G9="Y",I9="Y"),"Lengkap",IF(G9="Y","Diterima - Belum Lengkap",IF(F9&lt;&gt;"","Diedar - Belum Diterima","Belum Diedar")))</x:f>
        <x:v>Diedar - Belum Diterima</x:v>
      </x:c>
    </x:row>
    <x:row r="10">
      <x:c r="A10">
        <x:v>8</x:v>
      </x:c>
      <x:c r="B10" t="str">
        <x:v>P008</x:v>
      </x:c>
      <x:c r="C10" t="str">
        <x:v>Rohani binti Abdul Rahim</x:v>
      </x:c>
      <x:c r="D10" t="str">
        <x:v>DHE1013</x:v>
      </x:c>
      <x:c r="E10" t="str">
        <x:v>Pengantar Hospitaliti</x:v>
      </x:c>
      <x:c r="F10" t="str">
        <x:v>03/01/2025</x:v>
      </x:c>
      <x:c r="G10" t="str">
        <x:v>Y</x:v>
      </x:c>
      <x:c r="H10" t="str">
        <x:v>05/01/2025</x:v>
      </x:c>
      <x:c r="I10" t="str">
        <x:v>Y</x:v>
      </x:c>
      <x:c r="J10" t="str">
        <x:f>IF(AND(G10="Y",I10="Y"),"Lengkap",IF(G10="Y","Diterima - Belum Lengkap",IF(F10&lt;&gt;"","Diedar - Belum Diterima","Belum Diedar")))</x:f>
        <x:v>Lengkap</x:v>
      </x:c>
    </x:row>
    <x:row r="11">
      <x:c r="A11">
        <x:v>9</x:v>
      </x:c>
      <x:c r="B11" t="str">
        <x:v>P009</x:v>
      </x:c>
      <x:c r="C11" t="str">
        <x:v>Hairul Nizam bin Daud</x:v>
      </x:c>
      <x:c r="D11" t="str">
        <x:v>DCS2023</x:v>
      </x:c>
      <x:c r="E11" t="str">
        <x:v>Pangkalan Data</x:v>
      </x:c>
      <x:c r="F11" t="str">
        <x:v>03/01/2025</x:v>
      </x:c>
      <x:c r="G11" t="str">
        <x:v>Y</x:v>
      </x:c>
      <x:c r="H11" t="str">
        <x:v>04/01/2025</x:v>
      </x:c>
      <x:c r="I11" t="str">
        <x:v>T</x:v>
      </x:c>
      <x:c r="J11" t="str">
        <x:f>IF(AND(G11="Y",I11="Y"),"Lengkap",IF(G11="Y","Diterima - Belum Lengkap",IF(F11&lt;&gt;"","Diedar - Belum Diterima","Belum Diedar")))</x:f>
        <x:v>Diterima - Belum Lengkap</x:v>
      </x:c>
      <x:c r="K11" t="str">
        <x:v>Belum hantar rubrik</x:v>
      </x:c>
    </x:row>
    <x:row r="12">
      <x:c r="A12">
        <x:v>10</x:v>
      </x:c>
      <x:c r="B12" t="str">
        <x:v>P010</x:v>
      </x:c>
      <x:c r="C12" t="str">
        <x:v>Norzaimah binti Said</x:v>
      </x:c>
      <x:c r="D12" t="str">
        <x:v>DBM2023</x:v>
      </x:c>
      <x:c r="E12" t="str">
        <x:v>Pengurusan Sumber Manusia</x:v>
      </x:c>
      <x:c r="F12" t="str">
        <x:v>03/01/2025</x:v>
      </x:c>
      <x:c r="G12" t="str">
        <x:v>Y</x:v>
      </x:c>
      <x:c r="H12" t="str">
        <x:v>06/01/2025</x:v>
      </x:c>
      <x:c r="I12" t="str">
        <x:v>Y</x:v>
      </x:c>
      <x:c r="J12" t="str">
        <x:f>IF(AND(G12="Y",I12="Y"),"Lengkap",IF(G12="Y","Diterima - Belum Lengkap",IF(F12&lt;&gt;"","Diedar - Belum Diterima","Belum Diedar")))</x:f>
        <x:v>Lengkap</x:v>
      </x:c>
    </x:row>
  </x:sheetData>
</x:worksheet>
</file>

<file path=xl/worksheets/sheet4.xml><?xml version="1.0" encoding="utf-8"?>
<x:worksheet xmlns:x="http://schemas.openxmlformats.org/spreadsheetml/2006/main">
  <x:cols>
    <x:col min="1" max="1" width="8" customWidth="1"/>
    <x:col min="2" max="2" width="15" customWidth="1"/>
    <x:col min="3" max="3" width="35" customWidth="1"/>
    <x:col min="4" max="4" width="12" customWidth="1"/>
    <x:col min="5" max="5" width="12" customWidth="1"/>
    <x:col min="6" max="6" width="18" customWidth="1"/>
  </x:cols>
  <x:sheetData>
    <x:row r="1">
      <x:c r="A1" s="1" t="str">
        <x:v>SENARAI KURSUS - SEMESTER SEMASA</x:v>
      </x:c>
    </x:row>
    <x:row r="2">
      <x:c r="A2" s="2" t="str">
        <x:v>No</x:v>
      </x:c>
      <x:c r="B2" s="2" t="str">
        <x:v>Kod Kursus</x:v>
      </x:c>
      <x:c r="C2" s="2" t="str">
        <x:v>Nama Kursus</x:v>
      </x:c>
      <x:c r="D2" s="2" t="str">
        <x:v>Jam Kredit</x:v>
      </x:c>
      <x:c r="E2" s="2" t="str">
        <x:v>Semester</x:v>
      </x:c>
      <x:c r="F2" s="2" t="str">
        <x:v>Status Kursus</x:v>
      </x:c>
    </x:row>
    <x:row r="3">
      <x:c r="A3">
        <x:v>1</x:v>
      </x:c>
      <x:c r="B3" t="str">
        <x:v>DKA1012</x:v>
      </x:c>
      <x:c r="C3" t="str">
        <x:v>Pengantar Perakaunan</x:v>
      </x:c>
      <x:c r="D3">
        <x:v>3</x:v>
      </x:c>
      <x:c r="E3" t="str">
        <x:v>Sem 1 2024/2025</x:v>
      </x:c>
      <x:c r="F3" t="str">
        <x:v>Aktif</x:v>
      </x:c>
    </x:row>
    <x:row r="4">
      <x:c r="A4">
        <x:v>2</x:v>
      </x:c>
      <x:c r="B4" t="str">
        <x:v>DKA1022</x:v>
      </x:c>
      <x:c r="C4" t="str">
        <x:v>Matematik Perniagaan</x:v>
      </x:c>
      <x:c r="D4">
        <x:v>3</x:v>
      </x:c>
      <x:c r="E4" t="str">
        <x:v>Sem 1 2024/2025</x:v>
      </x:c>
      <x:c r="F4" t="str">
        <x:v>Aktif</x:v>
      </x:c>
    </x:row>
    <x:row r="5">
      <x:c r="A5">
        <x:v>3</x:v>
      </x:c>
      <x:c r="B5" t="str">
        <x:v>DCS2013</x:v>
      </x:c>
      <x:c r="C5" t="str">
        <x:v>Pengaturcaraan Asas</x:v>
      </x:c>
      <x:c r="D5">
        <x:v>3</x:v>
      </x:c>
      <x:c r="E5" t="str">
        <x:v>Sem 1 2024/2025</x:v>
      </x:c>
      <x:c r="F5" t="str">
        <x:v>Aktif</x:v>
      </x:c>
    </x:row>
    <x:row r="6">
      <x:c r="A6">
        <x:v>4</x:v>
      </x:c>
      <x:c r="B6" t="str">
        <x:v>DCS2023</x:v>
      </x:c>
      <x:c r="C6" t="str">
        <x:v>Pangkalan Data</x:v>
      </x:c>
      <x:c r="D6">
        <x:v>3</x:v>
      </x:c>
      <x:c r="E6" t="str">
        <x:v>Sem 1 2024/2025</x:v>
      </x:c>
      <x:c r="F6" t="str">
        <x:v>Aktif</x:v>
      </x:c>
    </x:row>
    <x:row r="7">
      <x:c r="A7">
        <x:v>5</x:v>
      </x:c>
      <x:c r="B7" t="str">
        <x:v>DCS3033</x:v>
      </x:c>
      <x:c r="C7" t="str">
        <x:v>Rangkaian Komputer</x:v>
      </x:c>
      <x:c r="D7">
        <x:v>3</x:v>
      </x:c>
      <x:c r="E7" t="str">
        <x:v>Sem 1 2024/2025</x:v>
      </x:c>
      <x:c r="F7" t="str">
        <x:v>Aktif</x:v>
      </x:c>
    </x:row>
    <x:row r="8">
      <x:c r="A8">
        <x:v>6</x:v>
      </x:c>
      <x:c r="B8" t="str">
        <x:v>DBM1013</x:v>
      </x:c>
      <x:c r="C8" t="str">
        <x:v>Pengantar Pengurusan</x:v>
      </x:c>
      <x:c r="D8">
        <x:v>3</x:v>
      </x:c>
      <x:c r="E8" t="str">
        <x:v>Sem 1 2024/2025</x:v>
      </x:c>
      <x:c r="F8" t="str">
        <x:v>Aktif</x:v>
      </x:c>
    </x:row>
    <x:row r="9">
      <x:c r="A9">
        <x:v>7</x:v>
      </x:c>
      <x:c r="B9" t="str">
        <x:v>DBM2023</x:v>
      </x:c>
      <x:c r="C9" t="str">
        <x:v>Pengurusan Sumber Manusia</x:v>
      </x:c>
      <x:c r="D9">
        <x:v>3</x:v>
      </x:c>
      <x:c r="E9" t="str">
        <x:v>Sem 1 2024/2025</x:v>
      </x:c>
      <x:c r="F9" t="str">
        <x:v>Aktif</x:v>
      </x:c>
    </x:row>
    <x:row r="10">
      <x:c r="A10">
        <x:v>8</x:v>
      </x:c>
      <x:c r="B10" t="str">
        <x:v>DBM3033</x:v>
      </x:c>
      <x:c r="C10" t="str">
        <x:v>Pemasaran</x:v>
      </x:c>
      <x:c r="D10">
        <x:v>3</x:v>
      </x:c>
      <x:c r="E10" t="str">
        <x:v>Sem 1 2024/2025</x:v>
      </x:c>
      <x:c r="F10" t="str">
        <x:v>Aktif</x:v>
      </x:c>
    </x:row>
    <x:row r="11">
      <x:c r="A11">
        <x:v>9</x:v>
      </x:c>
      <x:c r="B11" t="str">
        <x:v>DKM1013</x:v>
      </x:c>
      <x:c r="C11" t="str">
        <x:v>Matematik Kejuruteraan 1</x:v>
      </x:c>
      <x:c r="D11">
        <x:v>3</x:v>
      </x:c>
      <x:c r="E11" t="str">
        <x:v>Sem 1 2024/2025</x:v>
      </x:c>
      <x:c r="F11" t="str">
        <x:v>Aktif</x:v>
      </x:c>
    </x:row>
    <x:row r="12">
      <x:c r="A12">
        <x:v>10</x:v>
      </x:c>
      <x:c r="B12" t="str">
        <x:v>DKM2023</x:v>
      </x:c>
      <x:c r="C12" t="str">
        <x:v>Statistik Kejuruteraan</x:v>
      </x:c>
      <x:c r="D12">
        <x:v>3</x:v>
      </x:c>
      <x:c r="E12" t="str">
        <x:v>Sem 1 2024/2025</x:v>
      </x:c>
      <x:c r="F12" t="str">
        <x:v>Aktif</x:v>
      </x:c>
    </x:row>
    <x:row r="13">
      <x:c r="A13">
        <x:v>11</x:v>
      </x:c>
      <x:c r="B13" t="str">
        <x:v>DCE1013</x:v>
      </x:c>
      <x:c r="C13" t="str">
        <x:v>Elektronik Asas</x:v>
      </x:c>
      <x:c r="D13">
        <x:v>3</x:v>
      </x:c>
      <x:c r="E13" t="str">
        <x:v>Sem 1 2024/2025</x:v>
      </x:c>
      <x:c r="F13" t="str">
        <x:v>Aktif</x:v>
      </x:c>
    </x:row>
    <x:row r="14">
      <x:c r="A14">
        <x:v>12</x:v>
      </x:c>
      <x:c r="B14" t="str">
        <x:v>DCE2023</x:v>
      </x:c>
      <x:c r="C14" t="str">
        <x:v>Litar Digital</x:v>
      </x:c>
      <x:c r="D14">
        <x:v>3</x:v>
      </x:c>
      <x:c r="E14" t="str">
        <x:v>Sem 1 2024/2025</x:v>
      </x:c>
      <x:c r="F14" t="str">
        <x:v>Aktif</x:v>
      </x:c>
    </x:row>
    <x:row r="15">
      <x:c r="A15">
        <x:v>13</x:v>
      </x:c>
      <x:c r="B15" t="str">
        <x:v>DFW1013</x:v>
      </x:c>
      <x:c r="C15" t="str">
        <x:v>Fizik Binaan</x:v>
      </x:c>
      <x:c r="D15">
        <x:v>3</x:v>
      </x:c>
      <x:c r="E15" t="str">
        <x:v>Sem 1 2024/2025</x:v>
      </x:c>
      <x:c r="F15" t="str">
        <x:v>Aktif</x:v>
      </x:c>
    </x:row>
    <x:row r="16">
      <x:c r="A16">
        <x:v>14</x:v>
      </x:c>
      <x:c r="B16" t="str">
        <x:v>DFW2023</x:v>
      </x:c>
      <x:c r="C16" t="str">
        <x:v>Ukur Bangunan</x:v>
      </x:c>
      <x:c r="D16">
        <x:v>3</x:v>
      </x:c>
      <x:c r="E16" t="str">
        <x:v>Sem 1 2024/2025</x:v>
      </x:c>
      <x:c r="F16" t="str">
        <x:v>Aktif</x:v>
      </x:c>
    </x:row>
    <x:row r="17">
      <x:c r="A17">
        <x:v>15</x:v>
      </x:c>
      <x:c r="B17" t="str">
        <x:v>DFW3033</x:v>
      </x:c>
      <x:c r="C17" t="str">
        <x:v>Teknologi Konkrit</x:v>
      </x:c>
      <x:c r="D17">
        <x:v>3</x:v>
      </x:c>
      <x:c r="E17" t="str">
        <x:v>Sem 1 2024/2025</x:v>
      </x:c>
      <x:c r="F17" t="str">
        <x:v>Aktif</x:v>
      </x:c>
    </x:row>
    <x:row r="18">
      <x:c r="A18">
        <x:v>16</x:v>
      </x:c>
      <x:c r="B18" t="str">
        <x:v>DPA1013</x:v>
      </x:c>
      <x:c r="C18" t="str">
        <x:v>Pengantar Pentadbiran Awam</x:v>
      </x:c>
      <x:c r="D18">
        <x:v>3</x:v>
      </x:c>
      <x:c r="E18" t="str">
        <x:v>Sem 1 2024/2025</x:v>
      </x:c>
      <x:c r="F18" t="str">
        <x:v>Aktif</x:v>
      </x:c>
    </x:row>
    <x:row r="19">
      <x:c r="A19">
        <x:v>17</x:v>
      </x:c>
      <x:c r="B19" t="str">
        <x:v>DPA2023</x:v>
      </x:c>
      <x:c r="C19" t="str">
        <x:v>Undang-Undang Pentadbiran</x:v>
      </x:c>
      <x:c r="D19">
        <x:v>3</x:v>
      </x:c>
      <x:c r="E19" t="str">
        <x:v>Sem 1 2024/2025</x:v>
      </x:c>
      <x:c r="F19" t="str">
        <x:v>Aktif</x:v>
      </x:c>
    </x:row>
    <x:row r="20">
      <x:c r="A20">
        <x:v>18</x:v>
      </x:c>
      <x:c r="B20" t="str">
        <x:v>DPA3033</x:v>
      </x:c>
      <x:c r="C20" t="str">
        <x:v>Pengurusan Pejabat</x:v>
      </x:c>
      <x:c r="D20">
        <x:v>3</x:v>
      </x:c>
      <x:c r="E20" t="str">
        <x:v>Sem 1 2024/2025</x:v>
      </x:c>
      <x:c r="F20" t="str">
        <x:v>Aktif</x:v>
      </x:c>
    </x:row>
    <x:row r="21">
      <x:c r="A21">
        <x:v>19</x:v>
      </x:c>
      <x:c r="B21" t="str">
        <x:v>DHE1013</x:v>
      </x:c>
      <x:c r="C21" t="str">
        <x:v>Pengantar Hospitaliti</x:v>
      </x:c>
      <x:c r="D21">
        <x:v>3</x:v>
      </x:c>
      <x:c r="E21" t="str">
        <x:v>Sem 1 2024/2025</x:v>
      </x:c>
      <x:c r="F21" t="str">
        <x:v>Aktif</x:v>
      </x:c>
    </x:row>
    <x:row r="22">
      <x:c r="A22">
        <x:v>20</x:v>
      </x:c>
      <x:c r="B22" t="str">
        <x:v>DHE2023</x:v>
      </x:c>
      <x:c r="C22" t="str">
        <x:v>Pengurusan Acara</x:v>
      </x:c>
      <x:c r="D22">
        <x:v>3</x:v>
      </x:c>
      <x:c r="E22" t="str">
        <x:v>Sem 1 2024/2025</x:v>
      </x:c>
      <x:c r="F22" t="str">
        <x:v>Aktif</x:v>
      </x:c>
    </x:row>
  </x:sheetData>
</x:worksheet>
</file>

<file path=xl/worksheets/sheet5.xml><?xml version="1.0" encoding="utf-8"?>
<x:worksheet xmlns:x="http://schemas.openxmlformats.org/spreadsheetml/2006/main">
  <x:cols>
    <x:col min="1" max="1" width="6" customWidth="1"/>
    <x:col min="2" max="2" width="12" customWidth="1"/>
    <x:col min="3" max="3" width="28" customWidth="1"/>
    <x:col min="4" max="4" width="22" customWidth="1"/>
    <x:col min="5" max="5" width="28" customWidth="1"/>
    <x:col min="6" max="6" width="15" customWidth="1"/>
  </x:cols>
  <x:sheetData>
    <x:row r="1">
      <x:c r="A1" s="1" t="str">
        <x:v>SENARAI PENSYARAH - JABATAN</x:v>
      </x:c>
    </x:row>
    <x:row r="2">
      <x:c r="A2" s="2" t="str">
        <x:v>No</x:v>
      </x:c>
      <x:c r="B2" s="2" t="str">
        <x:v>No. Pekerja</x:v>
      </x:c>
      <x:c r="C2" s="2" t="str">
        <x:v>Nama Pensyarah</x:v>
      </x:c>
      <x:c r="D2" s="2" t="str">
        <x:v>Jawatan</x:v>
      </x:c>
      <x:c r="E2" s="2" t="str">
        <x:v>E-mel</x:v>
      </x:c>
      <x:c r="F2" s="2" t="str">
        <x:v>Status</x:v>
      </x:c>
    </x:row>
    <x:row r="3">
      <x:c r="A3">
        <x:v>1</x:v>
      </x:c>
      <x:c r="B3" t="str">
        <x:v>P001</x:v>
      </x:c>
      <x:c r="C3" t="str">
        <x:v>Ahmad bin Abu Bakar</x:v>
      </x:c>
      <x:c r="D3" t="str">
        <x:v>Pensyarah</x:v>
      </x:c>
      <x:c r="E3" t="str">
        <x:v>ahmad@psp.edu.my</x:v>
      </x:c>
      <x:c r="F3" t="str">
        <x:v>Aktif</x:v>
      </x:c>
    </x:row>
    <x:row r="4">
      <x:c r="A4">
        <x:v>2</x:v>
      </x:c>
      <x:c r="B4" t="str">
        <x:v>P002</x:v>
      </x:c>
      <x:c r="C4" t="str">
        <x:v>Siti Aishah binti Mohd</x:v>
      </x:c>
      <x:c r="D4" t="str">
        <x:v>Pensyarah</x:v>
      </x:c>
      <x:c r="E4" t="str">
        <x:v>sitiaishah@psp.edu.my</x:v>
      </x:c>
      <x:c r="F4" t="str">
        <x:v>Aktif</x:v>
      </x:c>
    </x:row>
    <x:row r="5">
      <x:c r="A5">
        <x:v>3</x:v>
      </x:c>
      <x:c r="B5" t="str">
        <x:v>P003</x:v>
      </x:c>
      <x:c r="C5" t="str">
        <x:v>Mohd Fadzil bin Hassan</x:v>
      </x:c>
      <x:c r="D5" t="str">
        <x:v>Pensyarah Kanan</x:v>
      </x:c>
      <x:c r="E5" t="str">
        <x:v>fadzil@psp.edu.my</x:v>
      </x:c>
      <x:c r="F5" t="str">
        <x:v>Aktif</x:v>
      </x:c>
    </x:row>
    <x:row r="6">
      <x:c r="A6">
        <x:v>4</x:v>
      </x:c>
      <x:c r="B6" t="str">
        <x:v>P004</x:v>
      </x:c>
      <x:c r="C6" t="str">
        <x:v>Noraini binti Zainudin</x:v>
      </x:c>
      <x:c r="D6" t="str">
        <x:v>Pensyarah</x:v>
      </x:c>
      <x:c r="E6" t="str">
        <x:v>noraini@psp.edu.my</x:v>
      </x:c>
      <x:c r="F6" t="str">
        <x:v>Aktif</x:v>
      </x:c>
    </x:row>
    <x:row r="7">
      <x:c r="A7">
        <x:v>5</x:v>
      </x:c>
      <x:c r="B7" t="str">
        <x:v>P005</x:v>
      </x:c>
      <x:c r="C7" t="str">
        <x:v>Kamaruddin bin Yusof</x:v>
      </x:c>
      <x:c r="D7" t="str">
        <x:v>Pensyarah Kanan</x:v>
      </x:c>
      <x:c r="E7" t="str">
        <x:v>kamaruddin@psp.edu.my</x:v>
      </x:c>
      <x:c r="F7" t="str">
        <x:v>Aktif</x:v>
      </x:c>
    </x:row>
    <x:row r="8">
      <x:c r="A8">
        <x:v>6</x:v>
      </x:c>
      <x:c r="B8" t="str">
        <x:v>P006</x:v>
      </x:c>
      <x:c r="C8" t="str">
        <x:v>Faridah binti Ismail</x:v>
      </x:c>
      <x:c r="D8" t="str">
        <x:v>Pensyarah</x:v>
      </x:c>
      <x:c r="E8" t="str">
        <x:v>faridah@psp.edu.my</x:v>
      </x:c>
      <x:c r="F8" t="str">
        <x:v>Aktif</x:v>
      </x:c>
    </x:row>
    <x:row r="9">
      <x:c r="A9">
        <x:v>7</x:v>
      </x:c>
      <x:c r="B9" t="str">
        <x:v>P007</x:v>
      </x:c>
      <x:c r="C9" t="str">
        <x:v>Zulkifli bin Ramli</x:v>
      </x:c>
      <x:c r="D9" t="str">
        <x:v>Pensyarah</x:v>
      </x:c>
      <x:c r="E9" t="str">
        <x:v>zulkifli@psp.edu.my</x:v>
      </x:c>
      <x:c r="F9" t="str">
        <x:v>Aktif</x:v>
      </x:c>
    </x:row>
    <x:row r="10">
      <x:c r="A10">
        <x:v>8</x:v>
      </x:c>
      <x:c r="B10" t="str">
        <x:v>P008</x:v>
      </x:c>
      <x:c r="C10" t="str">
        <x:v>Rohani binti Abdul Rahim</x:v>
      </x:c>
      <x:c r="D10" t="str">
        <x:v>Pensyarah</x:v>
      </x:c>
      <x:c r="E10" t="str">
        <x:v>rohani@psp.edu.my</x:v>
      </x:c>
      <x:c r="F10" t="str">
        <x:v>Aktif</x:v>
      </x:c>
    </x:row>
    <x:row r="11">
      <x:c r="A11">
        <x:v>9</x:v>
      </x:c>
      <x:c r="B11" t="str">
        <x:v>P009</x:v>
      </x:c>
      <x:c r="C11" t="str">
        <x:v>Hairul Nizam bin Daud</x:v>
      </x:c>
      <x:c r="D11" t="str">
        <x:v>Pensyarah Kanan</x:v>
      </x:c>
      <x:c r="E11" t="str">
        <x:v>hairul@psp.edu.my</x:v>
      </x:c>
      <x:c r="F11" t="str">
        <x:v>Aktif</x:v>
      </x:c>
    </x:row>
    <x:row r="12">
      <x:c r="A12">
        <x:v>10</x:v>
      </x:c>
      <x:c r="B12" t="str">
        <x:v>P010</x:v>
      </x:c>
      <x:c r="C12" t="str">
        <x:v>Norzaimah binti Said</x:v>
      </x:c>
      <x:c r="D12" t="str">
        <x:v>Pensyarah</x:v>
      </x:c>
      <x:c r="E12" t="str">
        <x:v>norzaimah@psp.edu.my</x:v>
      </x:c>
      <x:c r="F12" t="str">
        <x:v>Aktif</x:v>
      </x:c>
    </x:row>
  </x:sheetData>
</x:worksheet>
</file>

<file path=xl/worksheets/sheet6.xml><?xml version="1.0" encoding="utf-8"?>
<x:worksheet xmlns:x="http://schemas.openxmlformats.org/spreadsheetml/2006/main">
  <x:cols>
    <x:col min="1" max="1" width="22" customWidth="1"/>
    <x:col min="2" max="2" width="15" customWidth="1"/>
    <x:col min="3" max="3" width="15" customWidth="1"/>
    <x:col min="4" max="4" width="15" customWidth="1"/>
    <x:col min="5" max="5" width="15" customWidth="1"/>
    <x:col min="6" max="6" width="18" customWidth="1"/>
  </x:cols>
  <x:sheetData>
    <x:row r="1">
      <x:c r="A1" s="1" t="str">
        <x:v>LAPORAN PEMATUHAN FAIL KURSUS - BULANAN</x:v>
      </x:c>
    </x:row>
    <x:row r="2">
      <x:c r="A2" s="19" t="str">
        <x:v>Politeknik Seberang Perai | Semester 1 Sesi 2024/2025</x:v>
      </x:c>
    </x:row>
    <x:row r="4">
      <x:c r="A4" s="6" t="str">
        <x:v>TREND PEMATUHAN MENGIKUT BULAN</x:v>
      </x:c>
      <x:c r="B4" s="7" t="str">
        <x:v/>
      </x:c>
      <x:c r="C4" s="7" t="str">
        <x:v/>
      </x:c>
      <x:c r="D4" s="7" t="str">
        <x:v/>
      </x:c>
      <x:c r="E4" s="7" t="str">
        <x:v/>
      </x:c>
      <x:c r="F4" s="7" t="str">
        <x:v/>
      </x:c>
    </x:row>
    <x:row r="5">
      <x:c r="A5" s="8" t="str">
        <x:v>Bulan</x:v>
      </x:c>
      <x:c r="B5" s="8" t="str">
        <x:v>Jumlah Rekod</x:v>
      </x:c>
      <x:c r="C5" s="8" t="str">
        <x:v>Lengkap</x:v>
      </x:c>
      <x:c r="D5" s="8" t="str">
        <x:v>Belum Lengkap</x:v>
      </x:c>
      <x:c r="E5" s="8" t="str">
        <x:v>Belum Diedar</x:v>
      </x:c>
      <x:c r="F5" s="8" t="str">
        <x:v>% Pematuhan</x:v>
      </x:c>
    </x:row>
    <x:row r="6">
      <x:c r="A6" t="str">
        <x:v>Januari 2025</x:v>
      </x:c>
      <x:c r="B6">
        <x:v>10</x:v>
      </x:c>
      <x:c r="C6">
        <x:v>6</x:v>
      </x:c>
      <x:c r="D6">
        <x:v>3</x:v>
      </x:c>
      <x:c r="E6">
        <x:v>1</x:v>
      </x:c>
      <x:c r="F6" s="11">
        <x:f>IFERROR(C6/B6,0)</x:f>
        <x:v>0.6</x:v>
      </x:c>
    </x:row>
    <x:row r="7">
      <x:c r="A7" t="str">
        <x:v>Februari 2025</x:v>
      </x:c>
      <x:c r="B7">
        <x:v>10</x:v>
      </x:c>
      <x:c r="C7">
        <x:v>7</x:v>
      </x:c>
      <x:c r="D7">
        <x:v>2</x:v>
      </x:c>
      <x:c r="E7">
        <x:v>1</x:v>
      </x:c>
      <x:c r="F7" s="11">
        <x:f>IFERROR(C7/B7,0)</x:f>
        <x:v>0.7</x:v>
      </x:c>
    </x:row>
    <x:row r="8">
      <x:c r="A8" t="str">
        <x:v>Mac 2025</x:v>
      </x:c>
      <x:c r="B8">
        <x:v>10</x:v>
      </x:c>
      <x:c r="C8">
        <x:v>8</x:v>
      </x:c>
      <x:c r="D8">
        <x:v>2</x:v>
      </x:c>
      <x:c r="E8">
        <x:v>0</x:v>
      </x:c>
      <x:c r="F8" s="11">
        <x:f>IFERROR(C8/B8,0)</x:f>
        <x:v>0.8</x:v>
      </x:c>
    </x:row>
    <x:row r="9">
      <x:c r="A9" t="str">
        <x:v>April 2025</x:v>
      </x:c>
      <x:c r="B9">
        <x:v>10</x:v>
      </x:c>
      <x:c r="C9">
        <x:v>9</x:v>
      </x:c>
      <x:c r="D9">
        <x:v>1</x:v>
      </x:c>
      <x:c r="E9">
        <x:v>0</x:v>
      </x:c>
      <x:c r="F9" s="11">
        <x:f>IFERROR(C9/B9,0)</x:f>
        <x:v>0.9</x:v>
      </x:c>
    </x:row>
    <x:row r="10">
      <x:c r="A10" t="str">
        <x:v>Mei 2025</x:v>
      </x:c>
      <x:c r="B10">
        <x:v>10</x:v>
      </x:c>
      <x:c r="C10">
        <x:v>10</x:v>
      </x:c>
      <x:c r="D10">
        <x:v>0</x:v>
      </x:c>
      <x:c r="E10">
        <x:v>0</x:v>
      </x:c>
      <x:c r="F10" s="11">
        <x:f>IFERROR(C10/B10,0)</x:f>
        <x:v>1</x:v>
      </x:c>
    </x:row>
    <x:row r="12">
      <x:c r="A12" s="15" t="str">
        <x:v>SENARAI SEMAK KANDUNGAN FAIL KURSUS</x:v>
      </x:c>
      <x:c r="B12" s="20" t="str">
        <x:v/>
      </x:c>
      <x:c r="C12" s="20" t="str">
        <x:v/>
      </x:c>
    </x:row>
    <x:row r="13">
      <x:c r="A13" s="21" t="str">
        <x:v>Komponen Fail Kursus</x:v>
      </x:c>
      <x:c r="B13" s="21" t="str">
        <x:v>Wajib?</x:v>
      </x:c>
      <x:c r="C13" s="21" t="str">
        <x:v>Status Semakan</x:v>
      </x:c>
    </x:row>
    <x:row r="14">
      <x:c r="A14" t="str">
        <x:v>1. Sukatan Pelajaran / Course Outline</x:v>
      </x:c>
      <x:c r="B14" s="12" t="str">
        <x:v>WAJIB</x:v>
      </x:c>
      <x:c r="C14" t="str">
        <x:v>Semak semasa edar</x:v>
      </x:c>
    </x:row>
    <x:row r="15">
      <x:c r="A15" t="str">
        <x:v>2. Rancangan Pengajaran Semester (RPS)</x:v>
      </x:c>
      <x:c r="B15" s="12" t="str">
        <x:v>WAJIB</x:v>
      </x:c>
      <x:c r="C15" t="str">
        <x:v>Semak semasa edar</x:v>
      </x:c>
    </x:row>
    <x:row r="16">
      <x:c r="A16" t="str">
        <x:v>3. CLO-PLO Mapping</x:v>
      </x:c>
      <x:c r="B16" s="12" t="str">
        <x:v>WAJIB</x:v>
      </x:c>
      <x:c r="C16" t="str">
        <x:v>Semak semasa edar</x:v>
      </x:c>
    </x:row>
    <x:row r="17">
      <x:c r="A17" t="str">
        <x:v>4. Soalan Ujian / Peperiksaan</x:v>
      </x:c>
      <x:c r="B17" s="12" t="str">
        <x:v>WAJIB</x:v>
      </x:c>
      <x:c r="C17" t="str">
        <x:v>Semak selepas peperiksaan</x:v>
      </x:c>
    </x:row>
    <x:row r="18">
      <x:c r="A18" t="str">
        <x:v>5. Skema Pemarkahan</x:v>
      </x:c>
      <x:c r="B18" s="12" t="str">
        <x:v>WAJIB</x:v>
      </x:c>
      <x:c r="C18" t="str">
        <x:v>Semak selepas peperiksaan</x:v>
      </x:c>
    </x:row>
    <x:row r="19">
      <x:c r="A19" t="str">
        <x:v>6. Rubrik Penilaian</x:v>
      </x:c>
      <x:c r="B19" s="12" t="str">
        <x:v>WAJIB</x:v>
      </x:c>
      <x:c r="C19" t="str">
        <x:v>Semak awal semester</x:v>
      </x:c>
    </x:row>
    <x:row r="20">
      <x:c r="A20" t="str">
        <x:v>7. Hasil Kerja Pelajar (Sampel)</x:v>
      </x:c>
      <x:c r="B20" s="12" t="str">
        <x:v>WAJIB</x:v>
      </x:c>
      <x:c r="C20" t="str">
        <x:v>Semak akhir semester</x:v>
      </x:c>
    </x:row>
    <x:row r="21">
      <x:c r="A21" t="str">
        <x:v>8. Analisis Keputusan</x:v>
      </x:c>
      <x:c r="B21" s="12" t="str">
        <x:v>WAJIB</x:v>
      </x:c>
      <x:c r="C21" t="str">
        <x:v>Semak selepas peperiksaan</x:v>
      </x:c>
    </x:row>
    <x:row r="22">
      <x:c r="A22" t="str">
        <x:v>9. Minit Mesyuarat Kursus</x:v>
      </x:c>
      <x:c r="B22" s="13" t="str">
        <x:v>DIGALAKKAN</x:v>
      </x:c>
      <x:c r="C22" t="str">
        <x:v>Semak akhir semester</x:v>
      </x:c>
    </x:row>
    <x:row r="23">
      <x:c r="A23" t="str">
        <x:v>10. Borang Maklumbalas Pelajar</x:v>
      </x:c>
      <x:c r="B23" s="13" t="str">
        <x:v>DIGALAKKAN</x:v>
      </x:c>
      <x:c r="C23" t="str">
        <x:v>Semak akhir semester</x:v>
      </x:c>
    </x:row>
  </x:sheetData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2026-10-27T02:20:45Z</dcterms:created>
  <cp:lastModifiedBy>OfficeCLI</cp:lastModifiedBy>
  <dcterms:modified xsi:type="dcterms:W3CDTF">2026-10-27T02:20:45Z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1.0.158</vt:lpwstr>
  </op:property>
  <op:property fmtid="{D5CDD505-2E9C-101B-9397-08002B2CF9AE}" pid="3" name="OfficeCLI.LastModified">
    <vt:lpwstr xmlns:vt="http://schemas.openxmlformats.org/officeDocument/2006/docPropsVTypes">2026-10-27T02:24:03Z</vt:lpwstr>
  </op:property>
</op:Properties>
</file>